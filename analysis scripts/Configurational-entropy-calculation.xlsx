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rarfahimnavid/Downloads/"/>
    </mc:Choice>
  </mc:AlternateContent>
  <xr:revisionPtr revIDLastSave="0" documentId="8_{82E8B7E0-36A8-1D45-86E3-C5FBD0E0E882}" xr6:coauthVersionLast="47" xr6:coauthVersionMax="47" xr10:uidLastSave="{00000000-0000-0000-0000-000000000000}"/>
  <bookViews>
    <workbookView xWindow="0" yWindow="780" windowWidth="30080" windowHeight="20980" activeTab="1" xr2:uid="{B8E2B04C-4448-D046-A5E2-5040120F7002}"/>
  </bookViews>
  <sheets>
    <sheet name="MAPBrI" sheetId="1" r:id="rId1"/>
    <sheet name="FACsPBr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2" l="1"/>
  <c r="F22" i="2"/>
  <c r="E22" i="2"/>
  <c r="E21" i="2"/>
  <c r="F15" i="2"/>
  <c r="F16" i="2" s="1"/>
  <c r="F17" i="2" s="1"/>
  <c r="F18" i="2" s="1"/>
  <c r="F19" i="2" s="1"/>
  <c r="C15" i="2"/>
  <c r="E3" i="2"/>
  <c r="C3" i="2"/>
  <c r="E16" i="2" l="1"/>
  <c r="E17" i="2" s="1"/>
  <c r="E18" i="2" s="1"/>
  <c r="E19" i="2" s="1"/>
  <c r="C16" i="2"/>
  <c r="C17" i="2" s="1"/>
  <c r="C18" i="2" s="1"/>
  <c r="E4" i="2"/>
  <c r="E5" i="2" s="1"/>
  <c r="E6" i="2" s="1"/>
  <c r="E7" i="2" s="1"/>
  <c r="C4" i="2"/>
  <c r="C5" i="2" s="1"/>
  <c r="C6" i="2" s="1"/>
  <c r="C7" i="2" s="1"/>
  <c r="C10" i="2" l="1"/>
  <c r="C11" i="2"/>
  <c r="C19" i="2"/>
  <c r="D21" i="1" l="1"/>
  <c r="D22" i="1" s="1"/>
  <c r="E16" i="1"/>
  <c r="E17" i="1" s="1"/>
  <c r="E18" i="1" s="1"/>
  <c r="E19" i="1" s="1"/>
  <c r="C16" i="1"/>
  <c r="C17" i="1" s="1"/>
  <c r="C18" i="1" s="1"/>
  <c r="C19" i="1" s="1"/>
  <c r="E4" i="1"/>
  <c r="E5" i="1" s="1"/>
  <c r="E6" i="1" s="1"/>
  <c r="E7" i="1" s="1"/>
  <c r="C4" i="1"/>
  <c r="C5" i="1" s="1"/>
  <c r="C6" i="1" s="1"/>
  <c r="C7" i="1" l="1"/>
  <c r="C10" i="1"/>
  <c r="C11" i="1" l="1"/>
</calcChain>
</file>

<file path=xl/sharedStrings.xml><?xml version="1.0" encoding="utf-8"?>
<sst xmlns="http://schemas.openxmlformats.org/spreadsheetml/2006/main" count="50" uniqueCount="23">
  <si>
    <t>Homogeneous</t>
  </si>
  <si>
    <t>Br Rich/I-RICH</t>
  </si>
  <si>
    <t>phi</t>
  </si>
  <si>
    <t>S/Kb(lnphi)</t>
  </si>
  <si>
    <t>S</t>
  </si>
  <si>
    <t>TS</t>
  </si>
  <si>
    <t>TS/LAYER</t>
  </si>
  <si>
    <t>Homogen</t>
  </si>
  <si>
    <t>Br/I</t>
  </si>
  <si>
    <t>S/KB</t>
  </si>
  <si>
    <t>Temperature T (K)</t>
  </si>
  <si>
    <t>Boltzmann constant k_B (J/K)</t>
  </si>
  <si>
    <t>Boltzmann constant k_B (eV/K)</t>
  </si>
  <si>
    <t>layer no</t>
  </si>
  <si>
    <t>Phi</t>
  </si>
  <si>
    <t>TS/Layer</t>
  </si>
  <si>
    <t>Tds</t>
  </si>
  <si>
    <t>Tds/layer</t>
  </si>
  <si>
    <t>Fully relaxed  (middle layers not fixed)</t>
  </si>
  <si>
    <t>Constrained  (middle layer fixed)</t>
  </si>
  <si>
    <t>Energies are calculated in ev unit.</t>
  </si>
  <si>
    <t>Br rich surface</t>
  </si>
  <si>
    <t>I rich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</si>
</sst>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E+00"/>
    <numFmt numFmtId="165" formatCode="0.000000E+00"/>
  </numFmts>
  <fonts count="6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808080"/>
      <name val="Calibri"/>
      <family val="2"/>
    </font>
    <font>
      <b/>
      <sz val="12"/>
      <color rgb="FFFF0000"/>
      <name val="Aptos Narrow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0" fontId="5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4165-33F1-AC4E-AC6B-A0D3579C5670}">
  <dimension ref="A1:P28"/>
  <sheetViews>
    <sheetView zoomScale="150" workbookViewId="0">
      <selection activeCell="G5" sqref="G5:H5"/>
    </sheetView>
  </sheetViews>
  <sheetFormatPr baseColWidth="10" defaultRowHeight="16" x14ac:dyDescent="0.2"/>
  <cols>
    <col min="3" max="3" width="19.1640625" customWidth="1"/>
    <col min="4" max="4" width="18.1640625" bestFit="1" customWidth="1"/>
    <col min="5" max="5" width="15.33203125" bestFit="1" customWidth="1"/>
    <col min="7" max="7" width="15.33203125" bestFit="1" customWidth="1"/>
    <col min="9" max="9" width="25.83203125" customWidth="1"/>
    <col min="10" max="10" width="15.1640625" customWidth="1"/>
  </cols>
  <sheetData>
    <row r="1" spans="1:16" x14ac:dyDescent="0.2">
      <c r="A1" s="8" t="s">
        <v>19</v>
      </c>
      <c r="B1" s="8"/>
      <c r="C1" s="8"/>
      <c r="D1" s="8"/>
      <c r="E1" s="8"/>
      <c r="L1" s="8"/>
      <c r="M1" s="8"/>
      <c r="N1" s="8"/>
      <c r="O1" s="8"/>
      <c r="P1" s="8"/>
    </row>
    <row r="2" spans="1:16" x14ac:dyDescent="0.2">
      <c r="C2" t="s">
        <v>0</v>
      </c>
      <c r="E2" t="s">
        <v>1</v>
      </c>
    </row>
    <row r="3" spans="1:16" x14ac:dyDescent="0.2">
      <c r="B3" t="s">
        <v>2</v>
      </c>
      <c r="C3">
        <v>12348000</v>
      </c>
      <c r="E3">
        <v>70</v>
      </c>
    </row>
    <row r="4" spans="1:16" x14ac:dyDescent="0.2">
      <c r="B4" t="s">
        <v>3</v>
      </c>
      <c r="C4">
        <f>LN(C3)</f>
        <v>16.329004664604188</v>
      </c>
      <c r="E4">
        <f>LN(E3)</f>
        <v>4.2484952420493594</v>
      </c>
      <c r="I4" s="1" t="s">
        <v>10</v>
      </c>
      <c r="J4" s="2">
        <v>300</v>
      </c>
    </row>
    <row r="5" spans="1:16" x14ac:dyDescent="0.2">
      <c r="B5" t="s">
        <v>4</v>
      </c>
      <c r="C5" s="5">
        <f>C4*J6</f>
        <v>1.4071247503401453E-3</v>
      </c>
      <c r="E5" s="5">
        <f>E4*J6</f>
        <v>3.6610699363376717E-4</v>
      </c>
      <c r="G5" s="10" t="s">
        <v>13</v>
      </c>
      <c r="H5" s="10">
        <v>15</v>
      </c>
      <c r="I5" s="1" t="s">
        <v>11</v>
      </c>
      <c r="J5" s="3">
        <v>1.3806490000000001E-23</v>
      </c>
      <c r="N5" s="5"/>
      <c r="P5" s="5"/>
    </row>
    <row r="6" spans="1:16" x14ac:dyDescent="0.2">
      <c r="B6" t="s">
        <v>5</v>
      </c>
      <c r="C6" s="5">
        <f>C5*J4</f>
        <v>0.42213742510204361</v>
      </c>
      <c r="E6" s="5">
        <f>E5*J4</f>
        <v>0.10983209809013016</v>
      </c>
      <c r="I6" s="1" t="s">
        <v>12</v>
      </c>
      <c r="J6" s="4">
        <v>8.6173332621449999E-5</v>
      </c>
      <c r="N6" s="5"/>
      <c r="P6" s="5"/>
    </row>
    <row r="7" spans="1:16" x14ac:dyDescent="0.2">
      <c r="B7" t="s">
        <v>6</v>
      </c>
      <c r="C7" s="5">
        <f>C6/H5</f>
        <v>2.8142495006802905E-2</v>
      </c>
      <c r="E7" s="5">
        <f>E6/H5</f>
        <v>7.3221398726753435E-3</v>
      </c>
      <c r="N7" s="5"/>
      <c r="P7" s="5"/>
    </row>
    <row r="10" spans="1:16" x14ac:dyDescent="0.2">
      <c r="B10" s="6" t="s">
        <v>16</v>
      </c>
      <c r="C10" s="7">
        <f>C6-E6</f>
        <v>0.31230532701191344</v>
      </c>
      <c r="M10" s="6"/>
      <c r="N10" s="7"/>
    </row>
    <row r="11" spans="1:16" x14ac:dyDescent="0.2">
      <c r="B11" s="6" t="s">
        <v>17</v>
      </c>
      <c r="C11" s="7">
        <f>C7-E7</f>
        <v>2.0820355134127562E-2</v>
      </c>
      <c r="I11" s="5"/>
      <c r="M11" s="6"/>
      <c r="N11" s="7"/>
    </row>
    <row r="13" spans="1:16" x14ac:dyDescent="0.2">
      <c r="A13" s="9" t="s">
        <v>18</v>
      </c>
      <c r="B13" s="9"/>
      <c r="C13" s="9"/>
      <c r="D13" s="9"/>
      <c r="E13" s="9"/>
      <c r="I13" s="5"/>
      <c r="L13" s="9"/>
      <c r="M13" s="9"/>
      <c r="N13" s="9"/>
      <c r="O13" s="9"/>
      <c r="P13" s="9"/>
    </row>
    <row r="14" spans="1:16" x14ac:dyDescent="0.2">
      <c r="C14" t="s">
        <v>7</v>
      </c>
      <c r="E14" t="s">
        <v>8</v>
      </c>
    </row>
    <row r="15" spans="1:16" x14ac:dyDescent="0.2">
      <c r="B15" t="s">
        <v>14</v>
      </c>
      <c r="C15">
        <v>31116960000</v>
      </c>
      <c r="E15">
        <v>4</v>
      </c>
    </row>
    <row r="16" spans="1:16" x14ac:dyDescent="0.2">
      <c r="B16" t="s">
        <v>9</v>
      </c>
      <c r="C16">
        <f>LN(C15)</f>
        <v>24.161018845109655</v>
      </c>
      <c r="E16">
        <f>LN(E15)</f>
        <v>1.3862943611198906</v>
      </c>
    </row>
    <row r="17" spans="2:16" x14ac:dyDescent="0.2">
      <c r="B17" t="s">
        <v>4</v>
      </c>
      <c r="C17" s="5">
        <f>C16*J6</f>
        <v>2.0820355134127562E-3</v>
      </c>
      <c r="E17" s="5">
        <f>E16*J6</f>
        <v>1.1946160509202485E-4</v>
      </c>
      <c r="N17" s="5"/>
      <c r="P17" s="5"/>
    </row>
    <row r="18" spans="2:16" x14ac:dyDescent="0.2">
      <c r="B18" t="s">
        <v>5</v>
      </c>
      <c r="C18" s="5">
        <f>C17*J4</f>
        <v>0.62461065402382687</v>
      </c>
      <c r="E18" s="5">
        <f>E17*J4</f>
        <v>3.5838481527607456E-2</v>
      </c>
      <c r="N18" s="5"/>
      <c r="P18" s="5"/>
    </row>
    <row r="19" spans="2:16" x14ac:dyDescent="0.2">
      <c r="B19" t="s">
        <v>15</v>
      </c>
      <c r="C19" s="5">
        <f>C18/H5</f>
        <v>4.1640710268255124E-2</v>
      </c>
      <c r="E19" s="5">
        <f>E18/H5</f>
        <v>2.3892321018404972E-3</v>
      </c>
      <c r="N19" s="5"/>
      <c r="P19" s="5"/>
    </row>
    <row r="21" spans="2:16" x14ac:dyDescent="0.2">
      <c r="C21" s="6" t="s">
        <v>16</v>
      </c>
      <c r="D21" s="7">
        <f>C18-E18</f>
        <v>0.58877217249621938</v>
      </c>
      <c r="G21" s="5"/>
      <c r="N21" s="6"/>
      <c r="O21" s="7"/>
    </row>
    <row r="22" spans="2:16" x14ac:dyDescent="0.2">
      <c r="C22" s="6" t="s">
        <v>17</v>
      </c>
      <c r="D22" s="7">
        <f>D21/H5</f>
        <v>3.9251478166414625E-2</v>
      </c>
      <c r="G22" s="5"/>
      <c r="N22" s="6"/>
      <c r="O22" s="7"/>
    </row>
    <row r="28" spans="2:16" x14ac:dyDescent="0.2">
      <c r="B28" t="s">
        <v>20</v>
      </c>
    </row>
  </sheetData>
  <mergeCells count="4">
    <mergeCell ref="A1:E1"/>
    <mergeCell ref="A13:E13"/>
    <mergeCell ref="L1:P1"/>
    <mergeCell ref="L13:P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72FA-C7F9-C848-B017-EA2E154E69DD}">
  <dimension ref="A1:J25"/>
  <sheetViews>
    <sheetView tabSelected="1" zoomScale="150" workbookViewId="0">
      <selection activeCell="D17" sqref="D17"/>
    </sheetView>
  </sheetViews>
  <sheetFormatPr baseColWidth="10" defaultRowHeight="16" x14ac:dyDescent="0.2"/>
  <cols>
    <col min="3" max="3" width="18.33203125" customWidth="1"/>
    <col min="4" max="4" width="23.1640625" customWidth="1"/>
    <col min="5" max="5" width="32.6640625" customWidth="1"/>
    <col min="6" max="6" width="18.6640625" customWidth="1"/>
    <col min="10" max="10" width="21.83203125" customWidth="1"/>
  </cols>
  <sheetData>
    <row r="1" spans="1:10" x14ac:dyDescent="0.2">
      <c r="A1" s="8" t="s">
        <v>19</v>
      </c>
      <c r="B1" s="8"/>
      <c r="C1" s="8"/>
      <c r="D1" s="8"/>
      <c r="E1" s="8"/>
    </row>
    <row r="2" spans="1:10" x14ac:dyDescent="0.2">
      <c r="C2" t="s">
        <v>0</v>
      </c>
      <c r="E2" t="s">
        <v>1</v>
      </c>
    </row>
    <row r="3" spans="1:10" x14ac:dyDescent="0.2">
      <c r="B3" t="s">
        <v>2</v>
      </c>
      <c r="C3">
        <f>(COMBIN(4,2)^3)*(COMBIN(8,5)^4)</f>
        <v>2124251136</v>
      </c>
      <c r="E3">
        <f>COMBIN(8,2)</f>
        <v>28</v>
      </c>
    </row>
    <row r="4" spans="1:10" x14ac:dyDescent="0.2">
      <c r="B4" t="s">
        <v>3</v>
      </c>
      <c r="C4">
        <f>LN(C3)</f>
        <v>21.476685170624762</v>
      </c>
      <c r="E4">
        <f>LN(E3)</f>
        <v>3.3322045101752038</v>
      </c>
      <c r="I4" s="1" t="s">
        <v>10</v>
      </c>
      <c r="J4" s="2">
        <v>300</v>
      </c>
    </row>
    <row r="5" spans="1:10" x14ac:dyDescent="0.2">
      <c r="B5" t="s">
        <v>4</v>
      </c>
      <c r="C5" s="5">
        <f>C4*J6</f>
        <v>1.8507175348144102E-3</v>
      </c>
      <c r="E5" s="5">
        <f>E4*J6</f>
        <v>2.871471676180237E-4</v>
      </c>
      <c r="G5" s="10" t="s">
        <v>13</v>
      </c>
      <c r="H5" s="10">
        <v>19</v>
      </c>
      <c r="I5" s="1" t="s">
        <v>11</v>
      </c>
      <c r="J5" s="3">
        <v>1.3806490000000001E-23</v>
      </c>
    </row>
    <row r="6" spans="1:10" x14ac:dyDescent="0.2">
      <c r="B6" t="s">
        <v>5</v>
      </c>
      <c r="C6" s="5">
        <f>C5*J4</f>
        <v>0.55521526044432301</v>
      </c>
      <c r="E6" s="5">
        <f>E5*J4</f>
        <v>8.6144150285407117E-2</v>
      </c>
      <c r="I6" s="1" t="s">
        <v>12</v>
      </c>
      <c r="J6" s="4">
        <v>8.6173332621449999E-5</v>
      </c>
    </row>
    <row r="7" spans="1:10" x14ac:dyDescent="0.2">
      <c r="B7" t="s">
        <v>6</v>
      </c>
      <c r="C7" s="5">
        <f>C6/H5</f>
        <v>2.9221855812859104E-2</v>
      </c>
      <c r="E7" s="5">
        <f>E6/H5</f>
        <v>4.5339026466003742E-3</v>
      </c>
    </row>
    <row r="10" spans="1:10" x14ac:dyDescent="0.2">
      <c r="B10" s="6" t="s">
        <v>16</v>
      </c>
      <c r="C10" s="7">
        <f>C6-E6</f>
        <v>0.46907111015891589</v>
      </c>
    </row>
    <row r="11" spans="1:10" x14ac:dyDescent="0.2">
      <c r="B11" s="6" t="s">
        <v>17</v>
      </c>
      <c r="C11" s="7">
        <f>C7-E7</f>
        <v>2.4687953166258731E-2</v>
      </c>
    </row>
    <row r="13" spans="1:10" x14ac:dyDescent="0.2">
      <c r="A13" s="9" t="s">
        <v>18</v>
      </c>
      <c r="B13" s="9"/>
      <c r="C13" s="9"/>
      <c r="D13" s="9"/>
      <c r="E13" s="9"/>
      <c r="F13" s="12"/>
    </row>
    <row r="14" spans="1:10" x14ac:dyDescent="0.2">
      <c r="C14" t="s">
        <v>7</v>
      </c>
      <c r="E14" t="s">
        <v>21</v>
      </c>
      <c r="F14" s="11" t="s">
        <v>22</v>
      </c>
    </row>
    <row r="15" spans="1:10" x14ac:dyDescent="0.2">
      <c r="B15" t="s">
        <v>14</v>
      </c>
      <c r="C15">
        <f>(COMBIN(4,2)^5)*(COMBIN(8,5)^5)</f>
        <v>4282490290176</v>
      </c>
      <c r="E15">
        <v>1</v>
      </c>
      <c r="F15" s="11">
        <f>COMBIN(4,2)</f>
        <v>6</v>
      </c>
    </row>
    <row r="16" spans="1:10" x14ac:dyDescent="0.2">
      <c r="B16" t="s">
        <v>9</v>
      </c>
      <c r="C16">
        <f>LN(C15)</f>
        <v>29.085555799816021</v>
      </c>
      <c r="E16">
        <f>LN(E15)</f>
        <v>0</v>
      </c>
      <c r="F16">
        <f>LN(F15)</f>
        <v>1.791759469228055</v>
      </c>
    </row>
    <row r="17" spans="2:6" x14ac:dyDescent="0.2">
      <c r="B17" t="s">
        <v>4</v>
      </c>
      <c r="C17" s="5">
        <f>C16*J6</f>
        <v>2.50639927441729E-3</v>
      </c>
      <c r="E17" s="5">
        <f>E16*$J$6</f>
        <v>0</v>
      </c>
      <c r="F17" s="5">
        <f>F16*$J$6</f>
        <v>1.5440188471942188E-4</v>
      </c>
    </row>
    <row r="18" spans="2:6" x14ac:dyDescent="0.2">
      <c r="B18" t="s">
        <v>5</v>
      </c>
      <c r="C18" s="5">
        <f>C17*J4</f>
        <v>0.75191978232518697</v>
      </c>
      <c r="E18" s="5">
        <f>E17*$J$4</f>
        <v>0</v>
      </c>
      <c r="F18" s="5">
        <f>F17*$J$4</f>
        <v>4.6320565415826562E-2</v>
      </c>
    </row>
    <row r="19" spans="2:6" x14ac:dyDescent="0.2">
      <c r="B19" t="s">
        <v>15</v>
      </c>
      <c r="C19" s="5">
        <f>C18/H5</f>
        <v>3.9574725385536157E-2</v>
      </c>
      <c r="E19" s="5">
        <f>E18/$H$5</f>
        <v>0</v>
      </c>
      <c r="F19" s="5">
        <f>F18/$H$5</f>
        <v>2.4379244955698189E-3</v>
      </c>
    </row>
    <row r="21" spans="2:6" x14ac:dyDescent="0.2">
      <c r="D21" s="6" t="s">
        <v>16</v>
      </c>
      <c r="E21" s="7">
        <f>C18-E19</f>
        <v>0.75191978232518697</v>
      </c>
      <c r="F21" s="7">
        <f>C18-F18</f>
        <v>0.70559921690936045</v>
      </c>
    </row>
    <row r="22" spans="2:6" x14ac:dyDescent="0.2">
      <c r="D22" s="6" t="s">
        <v>17</v>
      </c>
      <c r="E22" s="7">
        <f>E21/H5</f>
        <v>3.9574725385536157E-2</v>
      </c>
      <c r="F22" s="7">
        <f>F21/H5</f>
        <v>3.7136800889966341E-2</v>
      </c>
    </row>
    <row r="25" spans="2:6" x14ac:dyDescent="0.2">
      <c r="F25" s="5"/>
    </row>
  </sheetData>
  <mergeCells count="2">
    <mergeCell ref="A1:E1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MAPBrI</vt:lpstr>
      <vt:lpstr>FACsPBrI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Navid, Abrar</dc:creator>
  <cp:lastModifiedBy>Navid, Abrar</cp:lastModifiedBy>
  <dcterms:created xsi:type="dcterms:W3CDTF">2026-06-06T07:12:07Z</dcterms:created>
  <dcterms:modified xsi:type="dcterms:W3CDTF">2026-06-17T20:46:00Z</dcterms:modified>
</cp:coreProperties>
</file>